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83944A26AB65D54/Documents/"/>
    </mc:Choice>
  </mc:AlternateContent>
  <xr:revisionPtr revIDLastSave="197" documentId="8_{5E237F60-23EB-4B9F-86CD-04BE72F58ABB}" xr6:coauthVersionLast="47" xr6:coauthVersionMax="47" xr10:uidLastSave="{B1FBBB45-1B53-4D12-A680-0E1863A83695}"/>
  <bookViews>
    <workbookView xWindow="-108" yWindow="-108" windowWidth="23256" windowHeight="12456" xr2:uid="{00000000-000D-0000-FFFF-FFFF00000000}"/>
  </bookViews>
  <sheets>
    <sheet name="KPI_DashBoard" sheetId="3" r:id="rId1"/>
    <sheet name="Monthly_Financials" sheetId="1" r:id="rId2"/>
    <sheet name="Cohort_Retention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B7" i="3"/>
  <c r="B6" i="3"/>
  <c r="B5" i="3"/>
</calcChain>
</file>

<file path=xl/sharedStrings.xml><?xml version="1.0" encoding="utf-8"?>
<sst xmlns="http://schemas.openxmlformats.org/spreadsheetml/2006/main" count="19" uniqueCount="15">
  <si>
    <t>Month</t>
  </si>
  <si>
    <t>Customers</t>
  </si>
  <si>
    <t>Revenue</t>
  </si>
  <si>
    <t>Expenses</t>
  </si>
  <si>
    <t>Net_Burn</t>
  </si>
  <si>
    <t>Cash_Balance</t>
  </si>
  <si>
    <t>New_Customers</t>
  </si>
  <si>
    <t>Marketing_Spend</t>
  </si>
  <si>
    <t>CAC</t>
  </si>
  <si>
    <t>ARPU</t>
  </si>
  <si>
    <t>Churn_Rate</t>
  </si>
  <si>
    <t>Avg_Customer_Lifetime_Months</t>
  </si>
  <si>
    <t>LTV</t>
  </si>
  <si>
    <t>LTV_CAC_Ratio</t>
  </si>
  <si>
    <t xml:space="preserve"> Current Monthly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</si>
</sst>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Revenue vs Expenses Over Time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23407781159646848"/>
          <c:y val="2.77779524245054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Monthly_Financials!$C$1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Monthly_Financials!$A$2:$A$25</c:f>
              <c:numCache>
                <c:formatCode>yyyy\-mm\-dd\ hh:mm:ss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Monthly_Financials!$C$2:$C$25</c:f>
              <c:numCache>
                <c:formatCode>General</c:formatCode>
                <c:ptCount val="24"/>
                <c:pt idx="0">
                  <c:v>6248.36</c:v>
                </c:pt>
                <c:pt idx="1">
                  <c:v>6761.19</c:v>
                </c:pt>
                <c:pt idx="2">
                  <c:v>8347.4699999999993</c:v>
                </c:pt>
                <c:pt idx="3">
                  <c:v>10277.5</c:v>
                </c:pt>
                <c:pt idx="4">
                  <c:v>10236.290000000001</c:v>
                </c:pt>
                <c:pt idx="5">
                  <c:v>11883.52</c:v>
                </c:pt>
                <c:pt idx="6">
                  <c:v>15751.89</c:v>
                </c:pt>
                <c:pt idx="7">
                  <c:v>16980.689999999999</c:v>
                </c:pt>
                <c:pt idx="8">
                  <c:v>17641.7</c:v>
                </c:pt>
                <c:pt idx="9">
                  <c:v>22074.91</c:v>
                </c:pt>
                <c:pt idx="10">
                  <c:v>23303.9</c:v>
                </c:pt>
                <c:pt idx="11">
                  <c:v>26874.85</c:v>
                </c:pt>
                <c:pt idx="12">
                  <c:v>32808.46</c:v>
                </c:pt>
                <c:pt idx="13">
                  <c:v>31067.1</c:v>
                </c:pt>
                <c:pt idx="14">
                  <c:v>36373.79</c:v>
                </c:pt>
                <c:pt idx="15">
                  <c:v>46551.49</c:v>
                </c:pt>
                <c:pt idx="16">
                  <c:v>51419.95</c:v>
                </c:pt>
                <c:pt idx="17">
                  <c:v>66250.649999999994</c:v>
                </c:pt>
                <c:pt idx="18">
                  <c:v>68659.33</c:v>
                </c:pt>
                <c:pt idx="19">
                  <c:v>75384.399999999994</c:v>
                </c:pt>
                <c:pt idx="20">
                  <c:v>110149.01</c:v>
                </c:pt>
                <c:pt idx="21">
                  <c:v>110795.45</c:v>
                </c:pt>
                <c:pt idx="22">
                  <c:v>130570.66</c:v>
                </c:pt>
                <c:pt idx="23">
                  <c:v>131661.89000000001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FE-4EF3-91F7-55286185FAE8}"/>
            </c:ext>
          </c:extLst>
        </c:ser>
        <c:ser>
          <c:idx val="1"/>
          <c:order val="1"/>
          <c:tx>
            <c:strRef>
              <c:f>Monthly_Financials!$D$1</c:f>
              <c:strCache>
                <c:ptCount val="1"/>
                <c:pt idx="0">
                  <c:v>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Monthly_Financials!$A$2:$A$25</c:f>
              <c:numCache>
                <c:formatCode>yyyy\-mm\-dd\ hh:mm:ss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Monthly_Financials!$D$2:$D$25</c:f>
              <c:numCache>
                <c:formatCode>General</c:formatCode>
                <c:ptCount val="24"/>
                <c:pt idx="0">
                  <c:v>10436.75</c:v>
                </c:pt>
                <c:pt idx="1">
                  <c:v>11107.52</c:v>
                </c:pt>
                <c:pt idx="2">
                  <c:v>13156.88</c:v>
                </c:pt>
                <c:pt idx="3">
                  <c:v>16509.04</c:v>
                </c:pt>
                <c:pt idx="4">
                  <c:v>14935.95</c:v>
                </c:pt>
                <c:pt idx="5">
                  <c:v>17308.41</c:v>
                </c:pt>
                <c:pt idx="6">
                  <c:v>22291.81</c:v>
                </c:pt>
                <c:pt idx="7">
                  <c:v>24409.54</c:v>
                </c:pt>
                <c:pt idx="8">
                  <c:v>25181.93</c:v>
                </c:pt>
                <c:pt idx="9">
                  <c:v>30714.03</c:v>
                </c:pt>
                <c:pt idx="10">
                  <c:v>33802.629999999997</c:v>
                </c:pt>
                <c:pt idx="11">
                  <c:v>36682.720000000001</c:v>
                </c:pt>
                <c:pt idx="12">
                  <c:v>43809.47</c:v>
                </c:pt>
                <c:pt idx="13">
                  <c:v>41984</c:v>
                </c:pt>
                <c:pt idx="14">
                  <c:v>46502.81</c:v>
                </c:pt>
                <c:pt idx="15">
                  <c:v>62658.51</c:v>
                </c:pt>
                <c:pt idx="16">
                  <c:v>63359.82</c:v>
                </c:pt>
                <c:pt idx="17">
                  <c:v>88053.67</c:v>
                </c:pt>
                <c:pt idx="18">
                  <c:v>88007.360000000001</c:v>
                </c:pt>
                <c:pt idx="19">
                  <c:v>89802.06</c:v>
                </c:pt>
                <c:pt idx="20">
                  <c:v>126553.31</c:v>
                </c:pt>
                <c:pt idx="21">
                  <c:v>135906.45000000001</c:v>
                </c:pt>
                <c:pt idx="22">
                  <c:v>155869.82999999999</c:v>
                </c:pt>
                <c:pt idx="23">
                  <c:v>154878.59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FE-4EF3-91F7-55286185F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4833552"/>
        <c:axId val="1509026384"/>
      </c:lineChart>
      <c:dateAx>
        <c:axId val="2014833552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026384"/>
        <c:crosses val="autoZero"/>
        <c:auto val="1"/>
        <c:lblOffset val="100"/>
        <c:baseTimeUnit val="months"/>
      </c:dateAx>
      <c:valAx>
        <c:axId val="150902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833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LTV:CAC Ratio Trend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Monthly_Financials!$N$1</c:f>
              <c:strCache>
                <c:ptCount val="1"/>
                <c:pt idx="0">
                  <c:v>LTV_CAC_Ratio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Monthly_Financials!$A$2:$A$25</c:f>
              <c:numCache>
                <c:formatCode>yyyy\-mm\-dd\ hh:mm:ss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Monthly_Financials!$N$2:$N$25</c:f>
              <c:numCache>
                <c:formatCode>General</c:formatCode>
                <c:ptCount val="24"/>
                <c:pt idx="0">
                  <c:v>85.17</c:v>
                </c:pt>
                <c:pt idx="1">
                  <c:v>9.36</c:v>
                </c:pt>
                <c:pt idx="2">
                  <c:v>10.87</c:v>
                </c:pt>
                <c:pt idx="3">
                  <c:v>10.07</c:v>
                </c:pt>
                <c:pt idx="4">
                  <c:v>6.36</c:v>
                </c:pt>
                <c:pt idx="5">
                  <c:v>9.41</c:v>
                </c:pt>
                <c:pt idx="6">
                  <c:v>10.1</c:v>
                </c:pt>
                <c:pt idx="7">
                  <c:v>14.68</c:v>
                </c:pt>
                <c:pt idx="8">
                  <c:v>11.77</c:v>
                </c:pt>
                <c:pt idx="9">
                  <c:v>10.23</c:v>
                </c:pt>
                <c:pt idx="10">
                  <c:v>7.83</c:v>
                </c:pt>
                <c:pt idx="11">
                  <c:v>7.87</c:v>
                </c:pt>
                <c:pt idx="12">
                  <c:v>8.7799999999999994</c:v>
                </c:pt>
                <c:pt idx="13">
                  <c:v>12.5</c:v>
                </c:pt>
                <c:pt idx="14">
                  <c:v>12.63</c:v>
                </c:pt>
                <c:pt idx="15">
                  <c:v>7.15</c:v>
                </c:pt>
                <c:pt idx="16">
                  <c:v>10.199999999999999</c:v>
                </c:pt>
                <c:pt idx="17">
                  <c:v>9.5</c:v>
                </c:pt>
                <c:pt idx="18">
                  <c:v>6.94</c:v>
                </c:pt>
                <c:pt idx="19">
                  <c:v>12.83</c:v>
                </c:pt>
                <c:pt idx="20">
                  <c:v>8.84</c:v>
                </c:pt>
                <c:pt idx="21">
                  <c:v>7.86</c:v>
                </c:pt>
                <c:pt idx="22">
                  <c:v>13.7</c:v>
                </c:pt>
                <c:pt idx="23">
                  <c:v>10.99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E7-4A91-9E3B-F5E6137CD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0786720"/>
        <c:axId val="1508973104"/>
      </c:lineChart>
      <c:dateAx>
        <c:axId val="2030786720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973104"/>
        <c:crosses val="autoZero"/>
        <c:auto val="1"/>
        <c:lblOffset val="100"/>
        <c:baseTimeUnit val="months"/>
      </c:dateAx>
      <c:valAx>
        <c:axId val="150897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786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Customer</a:t>
            </a:r>
            <a:r>
              <a:rPr lang="en-US" b="1" baseline="0"/>
              <a:t> Growth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66183485591797"/>
          <c:y val="0.2571714720159074"/>
          <c:w val="0.83415156892416753"/>
          <c:h val="0.501422081786688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Monthly_Financials!$B$1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Monthly_Financials!$A$2:$A$25</c:f>
              <c:numCache>
                <c:formatCode>yyyy\-mm\-dd\ hh:mm:ss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Monthly_Financials!$B$2:$B$25</c:f>
              <c:numCache>
                <c:formatCode>General</c:formatCode>
                <c:ptCount val="24"/>
                <c:pt idx="0">
                  <c:v>50</c:v>
                </c:pt>
                <c:pt idx="1">
                  <c:v>57</c:v>
                </c:pt>
                <c:pt idx="2">
                  <c:v>66</c:v>
                </c:pt>
                <c:pt idx="3">
                  <c:v>76</c:v>
                </c:pt>
                <c:pt idx="4">
                  <c:v>87</c:v>
                </c:pt>
                <c:pt idx="5">
                  <c:v>101</c:v>
                </c:pt>
                <c:pt idx="6">
                  <c:v>116</c:v>
                </c:pt>
                <c:pt idx="7">
                  <c:v>133</c:v>
                </c:pt>
                <c:pt idx="8">
                  <c:v>153</c:v>
                </c:pt>
                <c:pt idx="9">
                  <c:v>176</c:v>
                </c:pt>
                <c:pt idx="10">
                  <c:v>202</c:v>
                </c:pt>
                <c:pt idx="11">
                  <c:v>233</c:v>
                </c:pt>
                <c:pt idx="12">
                  <c:v>268</c:v>
                </c:pt>
                <c:pt idx="13">
                  <c:v>308</c:v>
                </c:pt>
                <c:pt idx="14">
                  <c:v>354</c:v>
                </c:pt>
                <c:pt idx="15">
                  <c:v>407</c:v>
                </c:pt>
                <c:pt idx="16">
                  <c:v>468</c:v>
                </c:pt>
                <c:pt idx="17">
                  <c:v>538</c:v>
                </c:pt>
                <c:pt idx="18">
                  <c:v>619</c:v>
                </c:pt>
                <c:pt idx="19">
                  <c:v>712</c:v>
                </c:pt>
                <c:pt idx="20">
                  <c:v>818</c:v>
                </c:pt>
                <c:pt idx="21">
                  <c:v>941</c:v>
                </c:pt>
                <c:pt idx="22">
                  <c:v>1082</c:v>
                </c:pt>
                <c:pt idx="23">
                  <c:v>1245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88-405D-BC79-12DDF773D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9455568"/>
        <c:axId val="1508992784"/>
      </c:barChart>
      <c:dateAx>
        <c:axId val="1499455568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992784"/>
        <c:crosses val="autoZero"/>
        <c:auto val="1"/>
        <c:lblOffset val="100"/>
        <c:baseTimeUnit val="months"/>
      </c:dateAx>
      <c:valAx>
        <c:axId val="150899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45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110285</xdr:rowOff>
    </xdr:from>
    <xdr:to>
      <xdr:col>4</xdr:col>
      <xdr:colOff>495300</xdr:colOff>
      <xdr:row>23</xdr:row>
      <xdr:rowOff>90130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CBDE0F-D63F-48AF-A569-4779D4B981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239461</xdr:colOff>
      <xdr:row>3</xdr:row>
      <xdr:rowOff>8143</xdr:rowOff>
    </xdr:from>
    <xdr:to>
      <xdr:col>20</xdr:col>
      <xdr:colOff>591671</xdr:colOff>
      <xdr:row>14</xdr:row>
      <xdr:rowOff>8142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DC0767-AB5D-492C-A6E2-C9343F56A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96113</xdr:colOff>
      <xdr:row>3</xdr:row>
      <xdr:rowOff>5820</xdr:rowOff>
    </xdr:from>
    <xdr:to>
      <xdr:col>12</xdr:col>
      <xdr:colOff>116541</xdr:colOff>
      <xdr:row>13</xdr:row>
      <xdr:rowOff>167222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CEBB9C-8C36-45AF-BDC4-34614697B7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5</xdr:col>
      <xdr:colOff>53789</xdr:colOff>
      <xdr:row>14</xdr:row>
      <xdr:rowOff>161365</xdr:rowOff>
    </xdr:from>
    <xdr:ext cx="8085020" cy="3048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E41B16-046D-5F9C-FC0F-8602476B66B2}"/>
            </a:ext>
          </a:extLst>
        </xdr:cNvPr>
        <xdr:cNvSpPr txBox="1"/>
      </xdr:nvSpPr>
      <xdr:spPr>
        <a:xfrm>
          <a:off x="6203577" y="3030071"/>
          <a:ext cx="8085020" cy="304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b="1"/>
            <a:t>                                                                </a:t>
          </a:r>
          <a:r>
            <a:rPr lang="en-IN" sz="1600" b="1"/>
            <a:t>Customer Retention by Cohort (%)</a:t>
          </a:r>
          <a:endParaRPr lang="en-IN" sz="1100" b="1"/>
        </a:p>
      </xdr:txBody>
    </xdr:sp>
    <xdr:clientData/>
  </xdr:oneCellAnchor>
  <xdr:oneCellAnchor>
    <xdr:from>
      <xdr:col>3</xdr:col>
      <xdr:colOff>414866</xdr:colOff>
      <xdr:row>0</xdr:row>
      <xdr:rowOff>67734</xdr:rowOff>
    </xdr:from>
    <xdr:ext cx="7840134" cy="443254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6769957-AC8F-2030-FB6D-08DFCF9E43CA}"/>
            </a:ext>
          </a:extLst>
        </xdr:cNvPr>
        <xdr:cNvSpPr txBox="1"/>
      </xdr:nvSpPr>
      <xdr:spPr>
        <a:xfrm>
          <a:off x="5345454" y="67734"/>
          <a:ext cx="7840134" cy="44325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/>
            <a:t>                                                         </a:t>
          </a:r>
          <a:r>
            <a:rPr lang="en-IN" sz="2000" b="1"/>
            <a:t>Startup Financial KPI Dashboard</a:t>
          </a:r>
          <a:endParaRPr lang="en-IN" sz="11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1411B-5010-42B5-9A43-1241BCE00C36}">
  <dimension ref="A5:R29"/>
  <sheetViews>
    <sheetView tabSelected="1" zoomScale="85" zoomScaleNormal="85" workbookViewId="0">
      <selection activeCell="U19" sqref="U19"/>
    </sheetView>
  </sheetViews>
  <sheetFormatPr defaultRowHeight="14.4" x14ac:dyDescent="0.3"/>
  <cols>
    <col min="1" max="1" width="45.44140625" customWidth="1"/>
    <col min="2" max="2" width="17.5546875" customWidth="1"/>
  </cols>
  <sheetData>
    <row r="5" spans="1:2" ht="21" x14ac:dyDescent="0.4">
      <c r="A5" s="4" t="s">
        <v>14</v>
      </c>
      <c r="B5" s="4">
        <f>Monthly_Financials!C25</f>
        <v>131661.89000000001</v>
      </c>
    </row>
    <row r="6" spans="1:2" ht="21" x14ac:dyDescent="0.4">
      <c r="A6" s="4" t="s">
        <v>14</v>
      </c>
      <c r="B6" s="4">
        <f>Monthly_Financials!E25</f>
        <v>23216.699999999979</v>
      </c>
    </row>
    <row r="7" spans="1:2" ht="21" x14ac:dyDescent="0.4">
      <c r="A7" s="4" t="s">
        <v>14</v>
      </c>
      <c r="B7" s="4">
        <f>Monthly_Financials!N25</f>
        <v>10.99</v>
      </c>
    </row>
    <row r="8" spans="1:2" ht="21" x14ac:dyDescent="0.4">
      <c r="A8" s="4" t="s">
        <v>14</v>
      </c>
      <c r="B8" s="4">
        <f>Monthly_Financials!F25/Monthly_Financials!E25</f>
        <v>9.2240223632126952</v>
      </c>
    </row>
    <row r="18" spans="7:18" x14ac:dyDescent="0.3"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</row>
    <row r="19" spans="7:18" x14ac:dyDescent="0.3">
      <c r="G19">
        <v>94.5</v>
      </c>
      <c r="H19">
        <v>94.5</v>
      </c>
      <c r="I19">
        <v>94.5</v>
      </c>
      <c r="J19">
        <v>94.5</v>
      </c>
      <c r="K19">
        <v>94.5</v>
      </c>
      <c r="L19">
        <v>94.5</v>
      </c>
      <c r="M19">
        <v>94.5</v>
      </c>
      <c r="N19">
        <v>94.5</v>
      </c>
      <c r="O19">
        <v>94.5</v>
      </c>
      <c r="P19">
        <v>94.5</v>
      </c>
      <c r="Q19">
        <v>94.5</v>
      </c>
      <c r="R19">
        <v>94.5</v>
      </c>
    </row>
    <row r="20" spans="7:18" x14ac:dyDescent="0.3">
      <c r="G20">
        <v>89.3</v>
      </c>
      <c r="H20">
        <v>89.3</v>
      </c>
      <c r="I20">
        <v>89.3</v>
      </c>
      <c r="J20">
        <v>89.3</v>
      </c>
      <c r="K20">
        <v>89.3</v>
      </c>
      <c r="L20">
        <v>89.3</v>
      </c>
      <c r="M20">
        <v>89.3</v>
      </c>
      <c r="N20">
        <v>89.3</v>
      </c>
      <c r="O20">
        <v>89.3</v>
      </c>
      <c r="P20">
        <v>89.3</v>
      </c>
      <c r="Q20">
        <v>89.3</v>
      </c>
      <c r="R20">
        <v>89.3</v>
      </c>
    </row>
    <row r="21" spans="7:18" x14ac:dyDescent="0.3">
      <c r="G21">
        <v>84.4</v>
      </c>
      <c r="H21">
        <v>84.4</v>
      </c>
      <c r="I21">
        <v>84.4</v>
      </c>
      <c r="J21">
        <v>84.4</v>
      </c>
      <c r="K21">
        <v>84.4</v>
      </c>
      <c r="L21">
        <v>84.4</v>
      </c>
      <c r="M21">
        <v>84.4</v>
      </c>
      <c r="N21">
        <v>84.4</v>
      </c>
      <c r="O21">
        <v>84.4</v>
      </c>
      <c r="P21">
        <v>84.4</v>
      </c>
      <c r="Q21">
        <v>84.4</v>
      </c>
      <c r="R21">
        <v>84.4</v>
      </c>
    </row>
    <row r="22" spans="7:18" x14ac:dyDescent="0.3">
      <c r="G22">
        <v>79.8</v>
      </c>
      <c r="H22">
        <v>79.8</v>
      </c>
      <c r="I22">
        <v>79.8</v>
      </c>
      <c r="J22">
        <v>79.8</v>
      </c>
      <c r="K22">
        <v>79.8</v>
      </c>
      <c r="L22">
        <v>79.8</v>
      </c>
      <c r="M22">
        <v>79.8</v>
      </c>
      <c r="N22">
        <v>79.8</v>
      </c>
      <c r="O22">
        <v>79.8</v>
      </c>
      <c r="P22">
        <v>79.8</v>
      </c>
      <c r="Q22">
        <v>79.8</v>
      </c>
      <c r="R22">
        <v>79.8</v>
      </c>
    </row>
    <row r="23" spans="7:18" x14ac:dyDescent="0.3">
      <c r="G23">
        <v>75.400000000000006</v>
      </c>
      <c r="H23">
        <v>75.400000000000006</v>
      </c>
      <c r="I23">
        <v>75.400000000000006</v>
      </c>
      <c r="J23">
        <v>75.400000000000006</v>
      </c>
      <c r="K23">
        <v>75.400000000000006</v>
      </c>
      <c r="L23">
        <v>75.400000000000006</v>
      </c>
      <c r="M23">
        <v>75.400000000000006</v>
      </c>
      <c r="N23">
        <v>75.400000000000006</v>
      </c>
      <c r="O23">
        <v>75.400000000000006</v>
      </c>
      <c r="P23">
        <v>75.400000000000006</v>
      </c>
      <c r="Q23">
        <v>75.400000000000006</v>
      </c>
      <c r="R23">
        <v>75.400000000000006</v>
      </c>
    </row>
    <row r="24" spans="7:18" x14ac:dyDescent="0.3">
      <c r="G24">
        <v>71.2</v>
      </c>
      <c r="H24">
        <v>71.2</v>
      </c>
      <c r="I24">
        <v>71.2</v>
      </c>
      <c r="J24">
        <v>71.2</v>
      </c>
      <c r="K24">
        <v>71.2</v>
      </c>
      <c r="L24">
        <v>71.2</v>
      </c>
      <c r="M24">
        <v>71.2</v>
      </c>
      <c r="N24">
        <v>71.2</v>
      </c>
      <c r="O24">
        <v>71.2</v>
      </c>
      <c r="P24">
        <v>71.2</v>
      </c>
      <c r="Q24">
        <v>71.2</v>
      </c>
      <c r="R24">
        <v>71.2</v>
      </c>
    </row>
    <row r="25" spans="7:18" x14ac:dyDescent="0.3">
      <c r="G25">
        <v>67.3</v>
      </c>
      <c r="H25">
        <v>67.3</v>
      </c>
      <c r="I25">
        <v>67.3</v>
      </c>
      <c r="J25">
        <v>67.3</v>
      </c>
      <c r="K25">
        <v>67.3</v>
      </c>
      <c r="L25">
        <v>67.3</v>
      </c>
      <c r="M25">
        <v>67.3</v>
      </c>
      <c r="N25">
        <v>67.3</v>
      </c>
      <c r="O25">
        <v>67.3</v>
      </c>
      <c r="P25">
        <v>67.3</v>
      </c>
      <c r="Q25">
        <v>67.3</v>
      </c>
      <c r="R25">
        <v>67.3</v>
      </c>
    </row>
    <row r="26" spans="7:18" x14ac:dyDescent="0.3">
      <c r="G26">
        <v>63.6</v>
      </c>
      <c r="H26">
        <v>63.6</v>
      </c>
      <c r="I26">
        <v>63.6</v>
      </c>
      <c r="J26">
        <v>63.6</v>
      </c>
      <c r="K26">
        <v>63.6</v>
      </c>
      <c r="L26">
        <v>63.6</v>
      </c>
      <c r="M26">
        <v>63.6</v>
      </c>
      <c r="N26">
        <v>63.6</v>
      </c>
      <c r="O26">
        <v>63.6</v>
      </c>
      <c r="P26">
        <v>63.6</v>
      </c>
      <c r="Q26">
        <v>63.6</v>
      </c>
      <c r="R26">
        <v>63.6</v>
      </c>
    </row>
    <row r="27" spans="7:18" x14ac:dyDescent="0.3">
      <c r="G27">
        <v>60.1</v>
      </c>
      <c r="H27">
        <v>60.1</v>
      </c>
      <c r="I27">
        <v>60.1</v>
      </c>
      <c r="J27">
        <v>60.1</v>
      </c>
      <c r="K27">
        <v>60.1</v>
      </c>
      <c r="L27">
        <v>60.1</v>
      </c>
      <c r="M27">
        <v>60.1</v>
      </c>
      <c r="N27">
        <v>60.1</v>
      </c>
      <c r="O27">
        <v>60.1</v>
      </c>
      <c r="P27">
        <v>60.1</v>
      </c>
      <c r="Q27">
        <v>60.1</v>
      </c>
      <c r="R27">
        <v>60.1</v>
      </c>
    </row>
    <row r="28" spans="7:18" x14ac:dyDescent="0.3">
      <c r="G28">
        <v>56.8</v>
      </c>
      <c r="H28">
        <v>56.8</v>
      </c>
      <c r="I28">
        <v>56.8</v>
      </c>
      <c r="J28">
        <v>56.8</v>
      </c>
      <c r="K28">
        <v>56.8</v>
      </c>
      <c r="L28">
        <v>56.8</v>
      </c>
      <c r="M28">
        <v>56.8</v>
      </c>
      <c r="N28">
        <v>56.8</v>
      </c>
      <c r="O28">
        <v>56.8</v>
      </c>
      <c r="P28">
        <v>56.8</v>
      </c>
      <c r="Q28">
        <v>56.8</v>
      </c>
      <c r="R28">
        <v>56.8</v>
      </c>
    </row>
    <row r="29" spans="7:18" x14ac:dyDescent="0.3">
      <c r="G29">
        <v>53.7</v>
      </c>
      <c r="H29">
        <v>53.7</v>
      </c>
      <c r="I29">
        <v>53.7</v>
      </c>
      <c r="J29">
        <v>53.7</v>
      </c>
      <c r="K29">
        <v>53.7</v>
      </c>
      <c r="L29">
        <v>53.7</v>
      </c>
      <c r="M29">
        <v>53.7</v>
      </c>
      <c r="N29">
        <v>53.7</v>
      </c>
      <c r="O29">
        <v>53.7</v>
      </c>
      <c r="P29">
        <v>53.7</v>
      </c>
      <c r="Q29">
        <v>53.7</v>
      </c>
      <c r="R29">
        <v>53.7</v>
      </c>
    </row>
  </sheetData>
  <conditionalFormatting sqref="B6">
    <cfRule type="cellIs" dxfId="2" priority="4" operator="greaterThan">
      <formula>0</formula>
    </cfRule>
  </conditionalFormatting>
  <conditionalFormatting sqref="B7">
    <cfRule type="cellIs" dxfId="1" priority="3" operator="greaterThan">
      <formula>3</formula>
    </cfRule>
  </conditionalFormatting>
  <conditionalFormatting sqref="B8">
    <cfRule type="cellIs" dxfId="0" priority="2" operator="lessThan">
      <formula>6</formula>
    </cfRule>
  </conditionalFormatting>
  <conditionalFormatting sqref="G18:R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workbookViewId="0">
      <selection activeCell="B1" activeCellId="1" sqref="A1:A25 B1:B25"/>
    </sheetView>
  </sheetViews>
  <sheetFormatPr defaultRowHeight="14.4" x14ac:dyDescent="0.3"/>
  <cols>
    <col min="1" max="1" width="20.44140625" customWidth="1"/>
    <col min="2" max="2" width="11.44140625" customWidth="1"/>
    <col min="5" max="5" width="13.5546875" customWidth="1"/>
    <col min="6" max="6" width="14.6640625" customWidth="1"/>
    <col min="7" max="7" width="16.88671875" customWidth="1"/>
    <col min="8" max="8" width="16.77734375" customWidth="1"/>
    <col min="11" max="11" width="12.109375" customWidth="1"/>
    <col min="12" max="12" width="30.21875" customWidth="1"/>
    <col min="13" max="13" width="10" customWidth="1"/>
    <col min="14" max="14" width="20.66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45292</v>
      </c>
      <c r="B2">
        <v>50</v>
      </c>
      <c r="C2">
        <v>6248.36</v>
      </c>
      <c r="D2">
        <v>10436.75</v>
      </c>
      <c r="E2">
        <v>4188.3900000000003</v>
      </c>
      <c r="F2">
        <v>495811.61</v>
      </c>
      <c r="G2">
        <v>50</v>
      </c>
      <c r="H2">
        <v>1731.59</v>
      </c>
      <c r="I2">
        <v>34.630000000000003</v>
      </c>
      <c r="J2">
        <v>124.97</v>
      </c>
      <c r="K2">
        <v>4.2300000000000004</v>
      </c>
      <c r="L2">
        <v>23.6</v>
      </c>
      <c r="M2">
        <v>2949.29</v>
      </c>
      <c r="N2">
        <v>85.17</v>
      </c>
    </row>
    <row r="3" spans="1:14" x14ac:dyDescent="0.3">
      <c r="A3" s="2">
        <v>45323</v>
      </c>
      <c r="B3">
        <v>57</v>
      </c>
      <c r="C3">
        <v>6761.19</v>
      </c>
      <c r="D3">
        <v>11107.52</v>
      </c>
      <c r="E3">
        <v>4346.3300000000008</v>
      </c>
      <c r="F3">
        <v>491465.28</v>
      </c>
      <c r="G3">
        <v>7</v>
      </c>
      <c r="H3">
        <v>1402.3</v>
      </c>
      <c r="I3">
        <v>200.33</v>
      </c>
      <c r="J3">
        <v>118.62</v>
      </c>
      <c r="K3">
        <v>6.34</v>
      </c>
      <c r="L3">
        <v>15.8</v>
      </c>
      <c r="M3">
        <v>1874.2</v>
      </c>
      <c r="N3">
        <v>9.36</v>
      </c>
    </row>
    <row r="4" spans="1:14" x14ac:dyDescent="0.3">
      <c r="A4" s="2">
        <v>45352</v>
      </c>
      <c r="B4">
        <v>66</v>
      </c>
      <c r="C4">
        <v>8347.4699999999993</v>
      </c>
      <c r="D4">
        <v>13156.88</v>
      </c>
      <c r="E4">
        <v>4809.41</v>
      </c>
      <c r="F4">
        <v>486655.87</v>
      </c>
      <c r="G4">
        <v>9</v>
      </c>
      <c r="H4">
        <v>1968.72</v>
      </c>
      <c r="I4">
        <v>218.75</v>
      </c>
      <c r="J4">
        <v>126.48</v>
      </c>
      <c r="K4">
        <v>5.32</v>
      </c>
      <c r="L4">
        <v>18.8</v>
      </c>
      <c r="M4">
        <v>2377.8200000000002</v>
      </c>
      <c r="N4">
        <v>10.87</v>
      </c>
    </row>
    <row r="5" spans="1:14" x14ac:dyDescent="0.3">
      <c r="A5" s="2">
        <v>45383</v>
      </c>
      <c r="B5">
        <v>76</v>
      </c>
      <c r="C5">
        <v>10277.5</v>
      </c>
      <c r="D5">
        <v>16509.04</v>
      </c>
      <c r="E5">
        <v>6231.5400000000009</v>
      </c>
      <c r="F5">
        <v>480424.33</v>
      </c>
      <c r="G5">
        <v>10</v>
      </c>
      <c r="H5">
        <v>2174.58</v>
      </c>
      <c r="I5">
        <v>217.46</v>
      </c>
      <c r="J5">
        <v>135.22999999999999</v>
      </c>
      <c r="K5">
        <v>6.17</v>
      </c>
      <c r="L5">
        <v>16.2</v>
      </c>
      <c r="M5">
        <v>2190.73</v>
      </c>
      <c r="N5">
        <v>10.07</v>
      </c>
    </row>
    <row r="6" spans="1:14" x14ac:dyDescent="0.3">
      <c r="A6" s="2">
        <v>45413</v>
      </c>
      <c r="B6">
        <v>87</v>
      </c>
      <c r="C6">
        <v>10236.290000000001</v>
      </c>
      <c r="D6">
        <v>14935.95</v>
      </c>
      <c r="E6">
        <v>4699.66</v>
      </c>
      <c r="F6">
        <v>475724.67</v>
      </c>
      <c r="G6">
        <v>11</v>
      </c>
      <c r="H6">
        <v>2930.76</v>
      </c>
      <c r="I6">
        <v>266.43</v>
      </c>
      <c r="J6">
        <v>117.66</v>
      </c>
      <c r="K6">
        <v>6.93</v>
      </c>
      <c r="L6">
        <v>14.4</v>
      </c>
      <c r="M6">
        <v>1694.3</v>
      </c>
      <c r="N6">
        <v>6.36</v>
      </c>
    </row>
    <row r="7" spans="1:14" x14ac:dyDescent="0.3">
      <c r="A7" s="2">
        <v>45444</v>
      </c>
      <c r="B7">
        <v>101</v>
      </c>
      <c r="C7">
        <v>11883.52</v>
      </c>
      <c r="D7">
        <v>17308.41</v>
      </c>
      <c r="E7">
        <v>5424.8899999999994</v>
      </c>
      <c r="F7">
        <v>470299.78</v>
      </c>
      <c r="G7">
        <v>14</v>
      </c>
      <c r="H7">
        <v>3117.4</v>
      </c>
      <c r="I7">
        <v>222.67</v>
      </c>
      <c r="J7">
        <v>117.66</v>
      </c>
      <c r="K7">
        <v>5.62</v>
      </c>
      <c r="L7">
        <v>17.8</v>
      </c>
      <c r="M7">
        <v>2094.35</v>
      </c>
      <c r="N7">
        <v>9.41</v>
      </c>
    </row>
    <row r="8" spans="1:14" x14ac:dyDescent="0.3">
      <c r="A8" s="2">
        <v>45474</v>
      </c>
      <c r="B8">
        <v>116</v>
      </c>
      <c r="C8">
        <v>15751.89</v>
      </c>
      <c r="D8">
        <v>22291.81</v>
      </c>
      <c r="E8">
        <v>6539.9200000000019</v>
      </c>
      <c r="F8">
        <v>463759.86</v>
      </c>
      <c r="G8">
        <v>15</v>
      </c>
      <c r="H8">
        <v>3671.6</v>
      </c>
      <c r="I8">
        <v>244.77</v>
      </c>
      <c r="J8">
        <v>135.79</v>
      </c>
      <c r="K8">
        <v>5.5</v>
      </c>
      <c r="L8">
        <v>18.2</v>
      </c>
      <c r="M8">
        <v>2471.38</v>
      </c>
      <c r="N8">
        <v>10.1</v>
      </c>
    </row>
    <row r="9" spans="1:14" x14ac:dyDescent="0.3">
      <c r="A9" s="2">
        <v>45505</v>
      </c>
      <c r="B9">
        <v>133</v>
      </c>
      <c r="C9">
        <v>16980.689999999999</v>
      </c>
      <c r="D9">
        <v>24409.54</v>
      </c>
      <c r="E9">
        <v>7428.8500000000022</v>
      </c>
      <c r="F9">
        <v>456331.01</v>
      </c>
      <c r="G9">
        <v>17</v>
      </c>
      <c r="H9">
        <v>3504.06</v>
      </c>
      <c r="I9">
        <v>206.12</v>
      </c>
      <c r="J9">
        <v>127.67</v>
      </c>
      <c r="K9">
        <v>4.22</v>
      </c>
      <c r="L9">
        <v>23.7</v>
      </c>
      <c r="M9">
        <v>3025.78</v>
      </c>
      <c r="N9">
        <v>14.68</v>
      </c>
    </row>
    <row r="10" spans="1:14" x14ac:dyDescent="0.3">
      <c r="A10" s="2">
        <v>45536</v>
      </c>
      <c r="B10">
        <v>153</v>
      </c>
      <c r="C10">
        <v>17641.7</v>
      </c>
      <c r="D10">
        <v>25181.93</v>
      </c>
      <c r="E10">
        <v>7540.23</v>
      </c>
      <c r="F10">
        <v>448790.78</v>
      </c>
      <c r="G10">
        <v>20</v>
      </c>
      <c r="H10">
        <v>4076.97</v>
      </c>
      <c r="I10">
        <v>203.85</v>
      </c>
      <c r="J10">
        <v>115.31</v>
      </c>
      <c r="K10">
        <v>4.8099999999999996</v>
      </c>
      <c r="L10">
        <v>20.8</v>
      </c>
      <c r="M10">
        <v>2398.4499999999998</v>
      </c>
      <c r="N10">
        <v>11.77</v>
      </c>
    </row>
    <row r="11" spans="1:14" x14ac:dyDescent="0.3">
      <c r="A11" s="2">
        <v>45566</v>
      </c>
      <c r="B11">
        <v>176</v>
      </c>
      <c r="C11">
        <v>22074.91</v>
      </c>
      <c r="D11">
        <v>30714.03</v>
      </c>
      <c r="E11">
        <v>8639.119999999999</v>
      </c>
      <c r="F11">
        <v>440151.66</v>
      </c>
      <c r="G11">
        <v>23</v>
      </c>
      <c r="H11">
        <v>5132.82</v>
      </c>
      <c r="I11">
        <v>223.17</v>
      </c>
      <c r="J11">
        <v>125.43</v>
      </c>
      <c r="K11">
        <v>5.5</v>
      </c>
      <c r="L11">
        <v>18.2</v>
      </c>
      <c r="M11">
        <v>2282.83</v>
      </c>
      <c r="N11">
        <v>10.23</v>
      </c>
    </row>
    <row r="12" spans="1:14" x14ac:dyDescent="0.3">
      <c r="A12" s="2">
        <v>45597</v>
      </c>
      <c r="B12">
        <v>202</v>
      </c>
      <c r="C12">
        <v>23303.9</v>
      </c>
      <c r="D12">
        <v>33802.629999999997</v>
      </c>
      <c r="E12">
        <v>10498.73</v>
      </c>
      <c r="F12">
        <v>429652.93</v>
      </c>
      <c r="G12">
        <v>26</v>
      </c>
      <c r="H12">
        <v>6361.05</v>
      </c>
      <c r="I12">
        <v>244.66</v>
      </c>
      <c r="J12">
        <v>115.37</v>
      </c>
      <c r="K12">
        <v>6.04</v>
      </c>
      <c r="L12">
        <v>16.600000000000001</v>
      </c>
      <c r="M12">
        <v>1915.14</v>
      </c>
      <c r="N12">
        <v>7.83</v>
      </c>
    </row>
    <row r="13" spans="1:14" x14ac:dyDescent="0.3">
      <c r="A13" s="2">
        <v>45627</v>
      </c>
      <c r="B13">
        <v>233</v>
      </c>
      <c r="C13">
        <v>26874.85</v>
      </c>
      <c r="D13">
        <v>36682.720000000001</v>
      </c>
      <c r="E13">
        <v>9807.8700000000026</v>
      </c>
      <c r="F13">
        <v>419845.06</v>
      </c>
      <c r="G13">
        <v>31</v>
      </c>
      <c r="H13">
        <v>7088.4</v>
      </c>
      <c r="I13">
        <v>228.66</v>
      </c>
      <c r="J13">
        <v>115.34</v>
      </c>
      <c r="K13">
        <v>6.41</v>
      </c>
      <c r="L13">
        <v>15.6</v>
      </c>
      <c r="M13">
        <v>1799.3</v>
      </c>
      <c r="N13">
        <v>7.87</v>
      </c>
    </row>
    <row r="14" spans="1:14" x14ac:dyDescent="0.3">
      <c r="A14" s="2">
        <v>45658</v>
      </c>
      <c r="B14">
        <v>268</v>
      </c>
      <c r="C14">
        <v>32808.46</v>
      </c>
      <c r="D14">
        <v>43809.47</v>
      </c>
      <c r="E14">
        <v>11001.01</v>
      </c>
      <c r="F14">
        <v>408844.05</v>
      </c>
      <c r="G14">
        <v>35</v>
      </c>
      <c r="H14">
        <v>9472.5</v>
      </c>
      <c r="I14">
        <v>270.64</v>
      </c>
      <c r="J14">
        <v>122.42</v>
      </c>
      <c r="K14">
        <v>5.14</v>
      </c>
      <c r="L14">
        <v>19.399999999999999</v>
      </c>
      <c r="M14">
        <v>2374.9499999999998</v>
      </c>
      <c r="N14">
        <v>8.7799999999999994</v>
      </c>
    </row>
    <row r="15" spans="1:14" x14ac:dyDescent="0.3">
      <c r="A15" s="2">
        <v>45689</v>
      </c>
      <c r="B15">
        <v>308</v>
      </c>
      <c r="C15">
        <v>31067.1</v>
      </c>
      <c r="D15">
        <v>41984</v>
      </c>
      <c r="E15">
        <v>10916.9</v>
      </c>
      <c r="F15">
        <v>397927.15</v>
      </c>
      <c r="G15">
        <v>40</v>
      </c>
      <c r="H15">
        <v>7680.45</v>
      </c>
      <c r="I15">
        <v>192.01</v>
      </c>
      <c r="J15">
        <v>100.87</v>
      </c>
      <c r="K15">
        <v>4.2</v>
      </c>
      <c r="L15">
        <v>23.8</v>
      </c>
      <c r="M15">
        <v>2400.71</v>
      </c>
      <c r="N15">
        <v>12.5</v>
      </c>
    </row>
    <row r="16" spans="1:14" x14ac:dyDescent="0.3">
      <c r="A16" s="2">
        <v>45717</v>
      </c>
      <c r="B16">
        <v>354</v>
      </c>
      <c r="C16">
        <v>36373.79</v>
      </c>
      <c r="D16">
        <v>46502.81</v>
      </c>
      <c r="E16">
        <v>10129.02</v>
      </c>
      <c r="F16">
        <v>387798.13</v>
      </c>
      <c r="G16">
        <v>46</v>
      </c>
      <c r="H16">
        <v>7709.77</v>
      </c>
      <c r="I16">
        <v>167.6</v>
      </c>
      <c r="J16">
        <v>102.75</v>
      </c>
      <c r="K16">
        <v>4.8600000000000003</v>
      </c>
      <c r="L16">
        <v>20.6</v>
      </c>
      <c r="M16">
        <v>2116.65</v>
      </c>
      <c r="N16">
        <v>12.63</v>
      </c>
    </row>
    <row r="17" spans="1:14" x14ac:dyDescent="0.3">
      <c r="A17" s="2">
        <v>45748</v>
      </c>
      <c r="B17">
        <v>407</v>
      </c>
      <c r="C17">
        <v>46551.49</v>
      </c>
      <c r="D17">
        <v>62658.51</v>
      </c>
      <c r="E17">
        <v>16107.02</v>
      </c>
      <c r="F17">
        <v>371691.11</v>
      </c>
      <c r="G17">
        <v>53</v>
      </c>
      <c r="H17">
        <v>12630.56</v>
      </c>
      <c r="I17">
        <v>238.31</v>
      </c>
      <c r="J17">
        <v>114.38</v>
      </c>
      <c r="K17">
        <v>6.73</v>
      </c>
      <c r="L17">
        <v>14.9</v>
      </c>
      <c r="M17">
        <v>1704.26</v>
      </c>
      <c r="N17">
        <v>7.15</v>
      </c>
    </row>
    <row r="18" spans="1:14" x14ac:dyDescent="0.3">
      <c r="A18" s="2">
        <v>45778</v>
      </c>
      <c r="B18">
        <v>468</v>
      </c>
      <c r="C18">
        <v>51419.95</v>
      </c>
      <c r="D18">
        <v>63359.82</v>
      </c>
      <c r="E18">
        <v>11939.87</v>
      </c>
      <c r="F18">
        <v>359751.24</v>
      </c>
      <c r="G18">
        <v>61</v>
      </c>
      <c r="H18">
        <v>14195.94</v>
      </c>
      <c r="I18">
        <v>232.72</v>
      </c>
      <c r="J18">
        <v>109.87</v>
      </c>
      <c r="K18">
        <v>4.6399999999999997</v>
      </c>
      <c r="L18">
        <v>21.6</v>
      </c>
      <c r="M18">
        <v>2373.19</v>
      </c>
      <c r="N18">
        <v>10.199999999999999</v>
      </c>
    </row>
    <row r="19" spans="1:14" x14ac:dyDescent="0.3">
      <c r="A19" s="2">
        <v>45809</v>
      </c>
      <c r="B19">
        <v>538</v>
      </c>
      <c r="C19">
        <v>66250.649999999994</v>
      </c>
      <c r="D19">
        <v>88053.67</v>
      </c>
      <c r="E19">
        <v>21803.02</v>
      </c>
      <c r="F19">
        <v>337948.22</v>
      </c>
      <c r="G19">
        <v>70</v>
      </c>
      <c r="H19">
        <v>16968.63</v>
      </c>
      <c r="I19">
        <v>242.41</v>
      </c>
      <c r="J19">
        <v>123.14</v>
      </c>
      <c r="K19">
        <v>5.36</v>
      </c>
      <c r="L19">
        <v>18.7</v>
      </c>
      <c r="M19">
        <v>2302.7199999999998</v>
      </c>
      <c r="N19">
        <v>9.5</v>
      </c>
    </row>
    <row r="20" spans="1:14" x14ac:dyDescent="0.3">
      <c r="A20" s="2">
        <v>45839</v>
      </c>
      <c r="B20">
        <v>619</v>
      </c>
      <c r="C20">
        <v>68659.33</v>
      </c>
      <c r="D20">
        <v>88007.360000000001</v>
      </c>
      <c r="E20">
        <v>19348.03</v>
      </c>
      <c r="F20">
        <v>318600.18999999989</v>
      </c>
      <c r="G20">
        <v>81</v>
      </c>
      <c r="H20">
        <v>19025.28</v>
      </c>
      <c r="I20">
        <v>234.88</v>
      </c>
      <c r="J20">
        <v>110.92</v>
      </c>
      <c r="K20">
        <v>6.79</v>
      </c>
      <c r="L20">
        <v>14.7</v>
      </c>
      <c r="M20">
        <v>1630.52</v>
      </c>
      <c r="N20">
        <v>6.94</v>
      </c>
    </row>
    <row r="21" spans="1:14" x14ac:dyDescent="0.3">
      <c r="A21" s="2">
        <v>45870</v>
      </c>
      <c r="B21">
        <v>712</v>
      </c>
      <c r="C21">
        <v>75384.399999999994</v>
      </c>
      <c r="D21">
        <v>89802.06</v>
      </c>
      <c r="E21">
        <v>14417.66</v>
      </c>
      <c r="F21">
        <v>304182.53000000003</v>
      </c>
      <c r="G21">
        <v>93</v>
      </c>
      <c r="H21">
        <v>18799.330000000002</v>
      </c>
      <c r="I21">
        <v>202.14</v>
      </c>
      <c r="J21">
        <v>105.88</v>
      </c>
      <c r="K21">
        <v>4.07</v>
      </c>
      <c r="L21">
        <v>24.5</v>
      </c>
      <c r="M21">
        <v>2594.06</v>
      </c>
      <c r="N21">
        <v>12.83</v>
      </c>
    </row>
    <row r="22" spans="1:14" x14ac:dyDescent="0.3">
      <c r="A22" s="2">
        <v>45901</v>
      </c>
      <c r="B22">
        <v>818</v>
      </c>
      <c r="C22">
        <v>110149.01</v>
      </c>
      <c r="D22">
        <v>126553.31</v>
      </c>
      <c r="E22">
        <v>16404.3</v>
      </c>
      <c r="F22">
        <v>287778.23</v>
      </c>
      <c r="G22">
        <v>106</v>
      </c>
      <c r="H22">
        <v>27787.65</v>
      </c>
      <c r="I22">
        <v>262.14999999999998</v>
      </c>
      <c r="J22">
        <v>134.66</v>
      </c>
      <c r="K22">
        <v>5.8</v>
      </c>
      <c r="L22">
        <v>17.2</v>
      </c>
      <c r="M22">
        <v>2316.15</v>
      </c>
      <c r="N22">
        <v>8.84</v>
      </c>
    </row>
    <row r="23" spans="1:14" x14ac:dyDescent="0.3">
      <c r="A23" s="2">
        <v>45931</v>
      </c>
      <c r="B23">
        <v>941</v>
      </c>
      <c r="C23">
        <v>110795.45</v>
      </c>
      <c r="D23">
        <v>135906.45000000001</v>
      </c>
      <c r="E23">
        <v>25111.000000000011</v>
      </c>
      <c r="F23">
        <v>262667.23</v>
      </c>
      <c r="G23">
        <v>123</v>
      </c>
      <c r="H23">
        <v>26896.05</v>
      </c>
      <c r="I23">
        <v>218.67</v>
      </c>
      <c r="J23">
        <v>117.74</v>
      </c>
      <c r="K23">
        <v>6.85</v>
      </c>
      <c r="L23">
        <v>14.6</v>
      </c>
      <c r="M23">
        <v>1719</v>
      </c>
      <c r="N23">
        <v>7.86</v>
      </c>
    </row>
    <row r="24" spans="1:14" x14ac:dyDescent="0.3">
      <c r="A24" s="2">
        <v>45962</v>
      </c>
      <c r="B24">
        <v>1082</v>
      </c>
      <c r="C24">
        <v>130570.66</v>
      </c>
      <c r="D24">
        <v>155869.82999999999</v>
      </c>
      <c r="E24">
        <v>25299.16999999998</v>
      </c>
      <c r="F24">
        <v>237368.06</v>
      </c>
      <c r="G24">
        <v>141</v>
      </c>
      <c r="H24">
        <v>26446.03</v>
      </c>
      <c r="I24">
        <v>187.56</v>
      </c>
      <c r="J24">
        <v>120.68</v>
      </c>
      <c r="K24">
        <v>4.6900000000000004</v>
      </c>
      <c r="L24">
        <v>21.3</v>
      </c>
      <c r="M24">
        <v>2570.48</v>
      </c>
      <c r="N24">
        <v>13.7</v>
      </c>
    </row>
    <row r="25" spans="1:14" x14ac:dyDescent="0.3">
      <c r="A25" s="2">
        <v>45992</v>
      </c>
      <c r="B25">
        <v>1245</v>
      </c>
      <c r="C25">
        <v>131661.89000000001</v>
      </c>
      <c r="D25">
        <v>154878.59</v>
      </c>
      <c r="E25">
        <v>23216.699999999979</v>
      </c>
      <c r="F25">
        <v>214151.36</v>
      </c>
      <c r="G25">
        <v>163</v>
      </c>
      <c r="H25">
        <v>27752.9</v>
      </c>
      <c r="I25">
        <v>170.26</v>
      </c>
      <c r="J25">
        <v>105.75</v>
      </c>
      <c r="K25">
        <v>5.65</v>
      </c>
      <c r="L25">
        <v>17.7</v>
      </c>
      <c r="M25">
        <v>1871.78</v>
      </c>
      <c r="N25">
        <v>10.99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"/>
  <sheetViews>
    <sheetView workbookViewId="0">
      <selection activeCell="M2" activeCellId="11" sqref="B2:B13 C2:C13 D2:D13 E2:E13 F2:F13 G2:G13 H2:H13 I2:I13 J2:J13 K2:K13 L2:L13 M2:M13"/>
    </sheetView>
  </sheetViews>
  <sheetFormatPr defaultRowHeight="14.4" x14ac:dyDescent="0.3"/>
  <cols>
    <col min="1" max="1" width="24" customWidth="1"/>
  </cols>
  <sheetData>
    <row r="1" spans="1:13" x14ac:dyDescent="0.3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</row>
    <row r="2" spans="1:13" x14ac:dyDescent="0.3">
      <c r="A2" s="3">
        <v>45292</v>
      </c>
      <c r="B2">
        <v>100</v>
      </c>
      <c r="C2">
        <v>94.5</v>
      </c>
      <c r="D2">
        <v>89.3</v>
      </c>
      <c r="E2">
        <v>84.4</v>
      </c>
      <c r="F2">
        <v>79.8</v>
      </c>
      <c r="G2">
        <v>75.400000000000006</v>
      </c>
      <c r="H2">
        <v>71.2</v>
      </c>
      <c r="I2">
        <v>67.3</v>
      </c>
      <c r="J2">
        <v>63.6</v>
      </c>
      <c r="K2">
        <v>60.1</v>
      </c>
      <c r="L2">
        <v>56.8</v>
      </c>
      <c r="M2">
        <v>53.7</v>
      </c>
    </row>
    <row r="3" spans="1:13" x14ac:dyDescent="0.3">
      <c r="A3" s="3">
        <v>45323</v>
      </c>
      <c r="B3">
        <v>100</v>
      </c>
      <c r="C3">
        <v>94.5</v>
      </c>
      <c r="D3">
        <v>89.3</v>
      </c>
      <c r="E3">
        <v>84.4</v>
      </c>
      <c r="F3">
        <v>79.8</v>
      </c>
      <c r="G3">
        <v>75.400000000000006</v>
      </c>
      <c r="H3">
        <v>71.2</v>
      </c>
      <c r="I3">
        <v>67.3</v>
      </c>
      <c r="J3">
        <v>63.6</v>
      </c>
      <c r="K3">
        <v>60.1</v>
      </c>
      <c r="L3">
        <v>56.8</v>
      </c>
      <c r="M3">
        <v>53.7</v>
      </c>
    </row>
    <row r="4" spans="1:13" x14ac:dyDescent="0.3">
      <c r="A4" s="3">
        <v>45352</v>
      </c>
      <c r="B4">
        <v>100</v>
      </c>
      <c r="C4">
        <v>94.5</v>
      </c>
      <c r="D4">
        <v>89.3</v>
      </c>
      <c r="E4">
        <v>84.4</v>
      </c>
      <c r="F4">
        <v>79.8</v>
      </c>
      <c r="G4">
        <v>75.400000000000006</v>
      </c>
      <c r="H4">
        <v>71.2</v>
      </c>
      <c r="I4">
        <v>67.3</v>
      </c>
      <c r="J4">
        <v>63.6</v>
      </c>
      <c r="K4">
        <v>60.1</v>
      </c>
      <c r="L4">
        <v>56.8</v>
      </c>
      <c r="M4">
        <v>53.7</v>
      </c>
    </row>
    <row r="5" spans="1:13" x14ac:dyDescent="0.3">
      <c r="A5" s="3">
        <v>45383</v>
      </c>
      <c r="B5">
        <v>100</v>
      </c>
      <c r="C5">
        <v>94.5</v>
      </c>
      <c r="D5">
        <v>89.3</v>
      </c>
      <c r="E5">
        <v>84.4</v>
      </c>
      <c r="F5">
        <v>79.8</v>
      </c>
      <c r="G5">
        <v>75.400000000000006</v>
      </c>
      <c r="H5">
        <v>71.2</v>
      </c>
      <c r="I5">
        <v>67.3</v>
      </c>
      <c r="J5">
        <v>63.6</v>
      </c>
      <c r="K5">
        <v>60.1</v>
      </c>
      <c r="L5">
        <v>56.8</v>
      </c>
      <c r="M5">
        <v>53.7</v>
      </c>
    </row>
    <row r="6" spans="1:13" x14ac:dyDescent="0.3">
      <c r="A6" s="3">
        <v>45413</v>
      </c>
      <c r="B6">
        <v>100</v>
      </c>
      <c r="C6">
        <v>94.5</v>
      </c>
      <c r="D6">
        <v>89.3</v>
      </c>
      <c r="E6">
        <v>84.4</v>
      </c>
      <c r="F6">
        <v>79.8</v>
      </c>
      <c r="G6">
        <v>75.400000000000006</v>
      </c>
      <c r="H6">
        <v>71.2</v>
      </c>
      <c r="I6">
        <v>67.3</v>
      </c>
      <c r="J6">
        <v>63.6</v>
      </c>
      <c r="K6">
        <v>60.1</v>
      </c>
      <c r="L6">
        <v>56.8</v>
      </c>
      <c r="M6">
        <v>53.7</v>
      </c>
    </row>
    <row r="7" spans="1:13" x14ac:dyDescent="0.3">
      <c r="A7" s="3">
        <v>45444</v>
      </c>
      <c r="B7">
        <v>100</v>
      </c>
      <c r="C7">
        <v>94.5</v>
      </c>
      <c r="D7">
        <v>89.3</v>
      </c>
      <c r="E7">
        <v>84.4</v>
      </c>
      <c r="F7">
        <v>79.8</v>
      </c>
      <c r="G7">
        <v>75.400000000000006</v>
      </c>
      <c r="H7">
        <v>71.2</v>
      </c>
      <c r="I7">
        <v>67.3</v>
      </c>
      <c r="J7">
        <v>63.6</v>
      </c>
      <c r="K7">
        <v>60.1</v>
      </c>
      <c r="L7">
        <v>56.8</v>
      </c>
      <c r="M7">
        <v>53.7</v>
      </c>
    </row>
    <row r="8" spans="1:13" x14ac:dyDescent="0.3">
      <c r="A8" s="3">
        <v>45474</v>
      </c>
      <c r="B8">
        <v>100</v>
      </c>
      <c r="C8">
        <v>94.5</v>
      </c>
      <c r="D8">
        <v>89.3</v>
      </c>
      <c r="E8">
        <v>84.4</v>
      </c>
      <c r="F8">
        <v>79.8</v>
      </c>
      <c r="G8">
        <v>75.400000000000006</v>
      </c>
      <c r="H8">
        <v>71.2</v>
      </c>
      <c r="I8">
        <v>67.3</v>
      </c>
      <c r="J8">
        <v>63.6</v>
      </c>
      <c r="K8">
        <v>60.1</v>
      </c>
      <c r="L8">
        <v>56.8</v>
      </c>
      <c r="M8">
        <v>53.7</v>
      </c>
    </row>
    <row r="9" spans="1:13" x14ac:dyDescent="0.3">
      <c r="A9" s="3">
        <v>45505</v>
      </c>
      <c r="B9">
        <v>100</v>
      </c>
      <c r="C9">
        <v>94.5</v>
      </c>
      <c r="D9">
        <v>89.3</v>
      </c>
      <c r="E9">
        <v>84.4</v>
      </c>
      <c r="F9">
        <v>79.8</v>
      </c>
      <c r="G9">
        <v>75.400000000000006</v>
      </c>
      <c r="H9">
        <v>71.2</v>
      </c>
      <c r="I9">
        <v>67.3</v>
      </c>
      <c r="J9">
        <v>63.6</v>
      </c>
      <c r="K9">
        <v>60.1</v>
      </c>
      <c r="L9">
        <v>56.8</v>
      </c>
      <c r="M9">
        <v>53.7</v>
      </c>
    </row>
    <row r="10" spans="1:13" x14ac:dyDescent="0.3">
      <c r="A10" s="3">
        <v>45536</v>
      </c>
      <c r="B10">
        <v>100</v>
      </c>
      <c r="C10">
        <v>94.5</v>
      </c>
      <c r="D10">
        <v>89.3</v>
      </c>
      <c r="E10">
        <v>84.4</v>
      </c>
      <c r="F10">
        <v>79.8</v>
      </c>
      <c r="G10">
        <v>75.400000000000006</v>
      </c>
      <c r="H10">
        <v>71.2</v>
      </c>
      <c r="I10">
        <v>67.3</v>
      </c>
      <c r="J10">
        <v>63.6</v>
      </c>
      <c r="K10">
        <v>60.1</v>
      </c>
      <c r="L10">
        <v>56.8</v>
      </c>
      <c r="M10">
        <v>53.7</v>
      </c>
    </row>
    <row r="11" spans="1:13" x14ac:dyDescent="0.3">
      <c r="A11" s="3">
        <v>45566</v>
      </c>
      <c r="B11">
        <v>100</v>
      </c>
      <c r="C11">
        <v>94.5</v>
      </c>
      <c r="D11">
        <v>89.3</v>
      </c>
      <c r="E11">
        <v>84.4</v>
      </c>
      <c r="F11">
        <v>79.8</v>
      </c>
      <c r="G11">
        <v>75.400000000000006</v>
      </c>
      <c r="H11">
        <v>71.2</v>
      </c>
      <c r="I11">
        <v>67.3</v>
      </c>
      <c r="J11">
        <v>63.6</v>
      </c>
      <c r="K11">
        <v>60.1</v>
      </c>
      <c r="L11">
        <v>56.8</v>
      </c>
      <c r="M11">
        <v>53.7</v>
      </c>
    </row>
    <row r="12" spans="1:13" x14ac:dyDescent="0.3">
      <c r="A12" s="3">
        <v>45597</v>
      </c>
      <c r="B12">
        <v>100</v>
      </c>
      <c r="C12">
        <v>94.5</v>
      </c>
      <c r="D12">
        <v>89.3</v>
      </c>
      <c r="E12">
        <v>84.4</v>
      </c>
      <c r="F12">
        <v>79.8</v>
      </c>
      <c r="G12">
        <v>75.400000000000006</v>
      </c>
      <c r="H12">
        <v>71.2</v>
      </c>
      <c r="I12">
        <v>67.3</v>
      </c>
      <c r="J12">
        <v>63.6</v>
      </c>
      <c r="K12">
        <v>60.1</v>
      </c>
      <c r="L12">
        <v>56.8</v>
      </c>
      <c r="M12">
        <v>53.7</v>
      </c>
    </row>
    <row r="13" spans="1:13" x14ac:dyDescent="0.3">
      <c r="A13" s="3">
        <v>45627</v>
      </c>
      <c r="B13">
        <v>100</v>
      </c>
      <c r="C13">
        <v>94.5</v>
      </c>
      <c r="D13">
        <v>89.3</v>
      </c>
      <c r="E13">
        <v>84.4</v>
      </c>
      <c r="F13">
        <v>79.8</v>
      </c>
      <c r="G13">
        <v>75.400000000000006</v>
      </c>
      <c r="H13">
        <v>71.2</v>
      </c>
      <c r="I13">
        <v>67.3</v>
      </c>
      <c r="J13">
        <v>63.6</v>
      </c>
      <c r="K13">
        <v>60.1</v>
      </c>
      <c r="L13">
        <v>56.8</v>
      </c>
      <c r="M13">
        <v>53.7</v>
      </c>
    </row>
  </sheetData>
  <conditionalFormatting sqref="B2:M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KPI_DashBoard</vt:lpstr>
      <vt:lpstr>Monthly_Financials</vt:lpstr>
      <vt:lpstr>Cohort_Retention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Shreyas Baravkar</cp:lastModifiedBy>
  <dcterms:created xsi:type="dcterms:W3CDTF">2026-08-15T13:28:24Z</dcterms:created>
  <dcterms:modified xsi:type="dcterms:W3CDTF">2026-08-16T08:31:56Z</dcterms:modified>
</cp:coreProperties>
</file>